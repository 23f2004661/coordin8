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hort_Drill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f59e0b"/>
        <bgColor rgb="00f59e0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1" pivotButton="0" quotePrefix="0" xfId="0"/>
    <xf numFmtId="3" fontId="7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2" customWidth="1" min="3" max="3"/>
    <col width="17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CS-FEDRAMP COMPREHENSIVE STRESS MODEL &amp; FINANCIAL FORECAST  •  EXECUTIVE_SUMMARY</t>
        </is>
      </c>
    </row>
    <row r="2" ht="20" customHeight="1">
      <c r="A2" s="2" t="inlineStr">
        <is>
          <t>Client: CyberShield Federal Technologies  |  Project: CyberShield Defense - FedRAMP Zero Trust  |  Generated: 2026-09-29 21:55</t>
        </is>
      </c>
    </row>
    <row r="3"/>
    <row r="4" ht="20" customHeight="1">
      <c r="A4" s="3" t="inlineStr">
        <is>
          <t>Portfolio Tested</t>
        </is>
      </c>
      <c r="B4" s="3" t="inlineStr">
        <is>
          <t>Stressed Capital Adequacy</t>
        </is>
      </c>
      <c r="C4" s="3" t="inlineStr">
        <is>
          <t>Model ROC-AUC</t>
        </is>
      </c>
    </row>
    <row r="5" ht="36" customHeight="1">
      <c r="A5" s="4" t="inlineStr">
        <is>
          <t>$250.0M</t>
        </is>
      </c>
      <c r="B5" s="4" t="inlineStr">
        <is>
          <t>18.4%</t>
        </is>
      </c>
      <c r="C5" s="4" t="inlineStr">
        <is>
          <t>0.914</t>
        </is>
      </c>
    </row>
    <row r="6"/>
    <row r="7" ht="26" customHeight="1">
      <c r="A7" s="5" t="inlineStr">
        <is>
          <t>Macro Scenario</t>
        </is>
      </c>
      <c r="B7" s="5" t="inlineStr">
        <is>
          <t>Portfolio Value</t>
        </is>
      </c>
      <c r="C7" s="5" t="inlineStr">
        <is>
          <t>Loss Severity Rate</t>
        </is>
      </c>
      <c r="D7" s="5" t="inlineStr">
        <is>
          <t>Stressed Loss</t>
        </is>
      </c>
      <c r="E7" s="5" t="inlineStr">
        <is>
          <t>Capital Buffer</t>
        </is>
      </c>
      <c r="F7" s="5" t="inlineStr">
        <is>
          <t>Reserve Status</t>
        </is>
      </c>
    </row>
    <row r="8" ht="20" customHeight="1">
      <c r="A8" s="6" t="inlineStr">
        <is>
          <t>Baseline (Current Economy)</t>
        </is>
      </c>
      <c r="B8" s="7" t="n">
        <v>250000000</v>
      </c>
      <c r="C8" s="8" t="n">
        <v>0.018</v>
      </c>
      <c r="D8" s="9">
        <f>B7*C7</f>
        <v/>
      </c>
      <c r="E8" s="7" t="n">
        <v>45000000</v>
      </c>
      <c r="F8" s="6" t="inlineStr">
        <is>
          <t>ADEQUATE</t>
        </is>
      </c>
    </row>
    <row r="9" ht="20" customHeight="1">
      <c r="A9" s="10" t="inlineStr">
        <is>
          <t>Moderate Recession (+200bps)</t>
        </is>
      </c>
      <c r="B9" s="11" t="n">
        <v>250000000</v>
      </c>
      <c r="C9" s="12" t="n">
        <v>0.042</v>
      </c>
      <c r="D9" s="13">
        <f>B8*C8</f>
        <v/>
      </c>
      <c r="E9" s="11" t="n">
        <v>45000000</v>
      </c>
      <c r="F9" s="10" t="inlineStr">
        <is>
          <t>ADEQUATE</t>
        </is>
      </c>
    </row>
    <row r="10" ht="20" customHeight="1">
      <c r="A10" s="6" t="inlineStr">
        <is>
          <t>Severe Stagflation (+450bps)</t>
        </is>
      </c>
      <c r="B10" s="7" t="n">
        <v>250000000</v>
      </c>
      <c r="C10" s="8" t="n">
        <v>0.078</v>
      </c>
      <c r="D10" s="9">
        <f>B9*C9</f>
        <v/>
      </c>
      <c r="E10" s="7" t="n">
        <v>45000000</v>
      </c>
      <c r="F10" s="6" t="inlineStr">
        <is>
          <t>ADEQUATE</t>
        </is>
      </c>
    </row>
    <row r="11" ht="20" customHeight="1">
      <c r="A11" s="10" t="inlineStr">
        <is>
          <t>Supply Shock &amp; Inflation</t>
        </is>
      </c>
      <c r="B11" s="11" t="n">
        <v>250000000</v>
      </c>
      <c r="C11" s="12" t="n">
        <v>0.061</v>
      </c>
      <c r="D11" s="13">
        <f>B10*C10</f>
        <v/>
      </c>
      <c r="E11" s="11" t="n">
        <v>45000000</v>
      </c>
      <c r="F11" s="10" t="inlineStr">
        <is>
          <t>ADEQUATE</t>
        </is>
      </c>
    </row>
    <row r="12" ht="24" customHeight="1">
      <c r="A12" s="14" t="inlineStr">
        <is>
          <t>TOTAL / SUMMARY</t>
        </is>
      </c>
      <c r="B12" s="15">
        <f>SUM(B8:B11)</f>
        <v/>
      </c>
      <c r="C12" s="15">
        <f>SUM(C8:C11)</f>
        <v/>
      </c>
      <c r="D12" s="16" t="n"/>
      <c r="E12" s="15">
        <f>SUM(E8:E11)</f>
        <v/>
      </c>
      <c r="F12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23" customWidth="1" min="5" max="5"/>
    <col width="14" customWidth="1" min="6" max="6"/>
    <col width="14" customWidth="1" min="7" max="7"/>
  </cols>
  <sheetData>
    <row r="1" ht="32" customHeight="1">
      <c r="A1" s="1" t="inlineStr">
        <is>
          <t>CS-FEDRAMP COMPREHENSIVE STRESS MODEL &amp; FINANCIAL FORECAST  •  COHORT_DRILLDOWN</t>
        </is>
      </c>
    </row>
    <row r="2" ht="20" customHeight="1">
      <c r="A2" s="2" t="inlineStr">
        <is>
          <t>Client: CyberShield Federal Technologies  |  Project: CyberShield Defense - FedRAMP Zero Trust  |  Generated: 2026-09-29 21:55</t>
        </is>
      </c>
    </row>
    <row r="3"/>
    <row r="4" ht="26" customHeight="1">
      <c r="A4" s="5" t="inlineStr">
        <is>
          <t>Cohort Name</t>
        </is>
      </c>
      <c r="B4" s="5" t="inlineStr">
        <is>
          <t>Sample Size</t>
        </is>
      </c>
      <c r="C4" s="5" t="inlineStr">
        <is>
          <t>Mean Score</t>
        </is>
      </c>
      <c r="D4" s="5" t="inlineStr">
        <is>
          <t>Approval Rate</t>
        </is>
      </c>
      <c r="E4" s="5" t="inlineStr">
        <is>
          <t>False Positive Rate</t>
        </is>
      </c>
    </row>
    <row r="5" ht="20" customHeight="1">
      <c r="A5" s="6" t="inlineStr">
        <is>
          <t>Tier 1 Prime</t>
        </is>
      </c>
      <c r="B5" s="7" t="n">
        <v>14500</v>
      </c>
      <c r="C5" s="7" t="n">
        <v>782</v>
      </c>
      <c r="D5" s="8" t="n">
        <v>0.9399999999999999</v>
      </c>
      <c r="E5" s="8" t="n">
        <v>0.012</v>
      </c>
    </row>
    <row r="6" ht="20" customHeight="1">
      <c r="A6" s="10" t="inlineStr">
        <is>
          <t>Tier 2 Near Prime</t>
        </is>
      </c>
      <c r="B6" s="11" t="n">
        <v>28000</v>
      </c>
      <c r="C6" s="11" t="n">
        <v>715</v>
      </c>
      <c r="D6" s="12" t="n">
        <v>0.78</v>
      </c>
      <c r="E6" s="12" t="n">
        <v>0.028</v>
      </c>
    </row>
    <row r="7" ht="20" customHeight="1">
      <c r="A7" s="6" t="inlineStr">
        <is>
          <t>Tier 3 Emerging SME</t>
        </is>
      </c>
      <c r="B7" s="7" t="n">
        <v>35000</v>
      </c>
      <c r="C7" s="7" t="n">
        <v>668</v>
      </c>
      <c r="D7" s="8" t="n">
        <v>0.54</v>
      </c>
      <c r="E7" s="8" t="n">
        <v>0.045</v>
      </c>
    </row>
    <row r="8" ht="20" customHeight="1">
      <c r="A8" s="10" t="inlineStr">
        <is>
          <t>Tier 4 Micro Business</t>
        </is>
      </c>
      <c r="B8" s="11" t="n">
        <v>12500</v>
      </c>
      <c r="C8" s="11" t="n">
        <v>620</v>
      </c>
      <c r="D8" s="12" t="n">
        <v>0.31</v>
      </c>
      <c r="E8" s="12" t="n">
        <v>0.062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2026-09-29T16:25:54Z</dcterms:created>
  <dcterms:modified xmlns:dcterms="http://purl.org/dc/terms/" xmlns:xsi="http://www.w3.org/2001/XMLSchema-instance" xsi:type="dcterms:W3CDTF">2026-09-29T16:25:54Z</dcterms:modified>
</cp:coreProperties>
</file>